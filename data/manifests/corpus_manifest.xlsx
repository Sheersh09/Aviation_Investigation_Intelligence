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c4d0e9c5d5ca58/Desktop/Aviation Investigation Intelligence/data/manifests/"/>
    </mc:Choice>
  </mc:AlternateContent>
  <xr:revisionPtr revIDLastSave="308" documentId="8_{2B3487AB-852B-4EE3-A96F-3F73288B7444}" xr6:coauthVersionLast="47" xr6:coauthVersionMax="47" xr10:uidLastSave="{E5AEFBE7-A867-4E77-9EE5-0446E2AC9913}"/>
  <bookViews>
    <workbookView xWindow="11424" yWindow="0" windowWidth="11712" windowHeight="12336" xr2:uid="{A8FB4998-B06A-4D96-B45D-062B2A682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F3" i="1"/>
  <c r="F4" i="1"/>
  <c r="L4" i="1" s="1"/>
  <c r="F5" i="1"/>
  <c r="F6" i="1"/>
  <c r="F7" i="1"/>
  <c r="L7" i="1" s="1"/>
  <c r="F8" i="1"/>
  <c r="L8" i="1" s="1"/>
  <c r="F9" i="1"/>
  <c r="L9" i="1" s="1"/>
  <c r="F10" i="1"/>
  <c r="L10" i="1" s="1"/>
  <c r="F11" i="1"/>
  <c r="L11" i="1" s="1"/>
  <c r="F12" i="1"/>
  <c r="L12" i="1" s="1"/>
  <c r="F13" i="1"/>
  <c r="L13" i="1" s="1"/>
  <c r="F14" i="1"/>
  <c r="L14" i="1" s="1"/>
  <c r="F15" i="1"/>
  <c r="L15" i="1" s="1"/>
  <c r="F16" i="1"/>
  <c r="L16" i="1" s="1"/>
  <c r="F17" i="1"/>
  <c r="L17" i="1" s="1"/>
  <c r="F18" i="1"/>
  <c r="L18" i="1" s="1"/>
  <c r="F19" i="1"/>
  <c r="L19" i="1" s="1"/>
  <c r="F20" i="1"/>
  <c r="L20" i="1" s="1"/>
  <c r="F21" i="1"/>
  <c r="L21" i="1" s="1"/>
  <c r="F22" i="1"/>
  <c r="L22" i="1" s="1"/>
  <c r="F23" i="1"/>
  <c r="L23" i="1" s="1"/>
  <c r="F24" i="1"/>
  <c r="L24" i="1" s="1"/>
  <c r="F25" i="1"/>
  <c r="L25" i="1" s="1"/>
  <c r="F26" i="1"/>
  <c r="L26" i="1" s="1"/>
  <c r="F27" i="1"/>
  <c r="L27" i="1" s="1"/>
  <c r="F2" i="1"/>
</calcChain>
</file>

<file path=xl/sharedStrings.xml><?xml version="1.0" encoding="utf-8"?>
<sst xmlns="http://schemas.openxmlformats.org/spreadsheetml/2006/main" count="276" uniqueCount="163">
  <si>
    <t>report_id</t>
  </si>
  <si>
    <t>registration</t>
  </si>
  <si>
    <t>aircraft_type</t>
  </si>
  <si>
    <t>operator</t>
  </si>
  <si>
    <t>occurrence_date</t>
  </si>
  <si>
    <t>occurrence_year</t>
  </si>
  <si>
    <t>operation_type</t>
  </si>
  <si>
    <t>phase_of_flight</t>
  </si>
  <si>
    <t>occurrence_type</t>
  </si>
  <si>
    <t>report_status</t>
  </si>
  <si>
    <t>source_agency</t>
  </si>
  <si>
    <t>local_filename</t>
  </si>
  <si>
    <t>source_url</t>
  </si>
  <si>
    <t>verified</t>
  </si>
  <si>
    <t>AAIB_01</t>
  </si>
  <si>
    <t>AAIB_02</t>
  </si>
  <si>
    <t>AAIB_03</t>
  </si>
  <si>
    <t>AAIB_04</t>
  </si>
  <si>
    <t>AAIB_05</t>
  </si>
  <si>
    <t>AAIB_06</t>
  </si>
  <si>
    <t>AAIB_07</t>
  </si>
  <si>
    <t>AAIB_08</t>
  </si>
  <si>
    <t>AAIB_09</t>
  </si>
  <si>
    <t>AAIB_10</t>
  </si>
  <si>
    <t>AAIB_11</t>
  </si>
  <si>
    <t>AAIB_12</t>
  </si>
  <si>
    <t>AAIB_13</t>
  </si>
  <si>
    <t>AAIB_14</t>
  </si>
  <si>
    <t>AAIB_15</t>
  </si>
  <si>
    <t>AAIB_16</t>
  </si>
  <si>
    <t>AAIB_17</t>
  </si>
  <si>
    <t>AAIB_18</t>
  </si>
  <si>
    <t>AAIB_19</t>
  </si>
  <si>
    <t>AAIB_20</t>
  </si>
  <si>
    <t>AAIB_21</t>
  </si>
  <si>
    <t>AAIB_22</t>
  </si>
  <si>
    <t>AAIB_23</t>
  </si>
  <si>
    <t>AAIB_24</t>
  </si>
  <si>
    <t>AAIB_25</t>
  </si>
  <si>
    <t>AAIB_26</t>
  </si>
  <si>
    <t>VT-ABK</t>
  </si>
  <si>
    <t>VT-AVV</t>
  </si>
  <si>
    <t>VT-AXH</t>
  </si>
  <si>
    <t>VT-AYB</t>
  </si>
  <si>
    <t>VT-AYD</t>
  </si>
  <si>
    <t>VT-DAR</t>
  </si>
  <si>
    <t>VT-EQO</t>
  </si>
  <si>
    <t>VT-ESH</t>
  </si>
  <si>
    <t>VT-IFM</t>
  </si>
  <si>
    <t>VT-IGM</t>
  </si>
  <si>
    <t>VT-IJT</t>
  </si>
  <si>
    <t>VT-JBG</t>
  </si>
  <si>
    <t>VT-JCX</t>
  </si>
  <si>
    <t>VT-JGA</t>
  </si>
  <si>
    <t>VT-JGD</t>
  </si>
  <si>
    <t>VT-LTA</t>
  </si>
  <si>
    <t>VT-NFM</t>
  </si>
  <si>
    <t>VT-PTD</t>
  </si>
  <si>
    <t>VT-RGF</t>
  </si>
  <si>
    <t>VT-SCQ</t>
  </si>
  <si>
    <t>VT-SGK</t>
  </si>
  <si>
    <t>VT-SLH</t>
  </si>
  <si>
    <t>VT-SUA</t>
  </si>
  <si>
    <t>VT-SUC</t>
  </si>
  <si>
    <t>VT-SYK</t>
  </si>
  <si>
    <t>VT-UDN</t>
  </si>
  <si>
    <t>Cessna 172 S</t>
  </si>
  <si>
    <t>Ahmedabad Aviation &amp; Aeronautics Ltd</t>
  </si>
  <si>
    <t>Training Flight</t>
  </si>
  <si>
    <t>Landing</t>
  </si>
  <si>
    <t>final</t>
  </si>
  <si>
    <t>AAIB India</t>
  </si>
  <si>
    <t>Hard Landing</t>
  </si>
  <si>
    <t>VT-ABK_2018_final_report</t>
  </si>
  <si>
    <t>Cessna Citation 560XL</t>
  </si>
  <si>
    <t>M/s Air Charter Services Pvt Ltd</t>
  </si>
  <si>
    <t>Non-scheduled Operation</t>
  </si>
  <si>
    <t>Runway Excursion</t>
  </si>
  <si>
    <t>VT-AVV_2019_final_report</t>
  </si>
  <si>
    <t>Repatriation Flight</t>
  </si>
  <si>
    <t>Boeing 737-800</t>
  </si>
  <si>
    <t>M/s Air India Charters Ltd., Mumbai</t>
  </si>
  <si>
    <t>Scheduled Passenger Flight</t>
  </si>
  <si>
    <t>Taxing</t>
  </si>
  <si>
    <t>Taxiway Excursion</t>
  </si>
  <si>
    <t>Takeoff</t>
  </si>
  <si>
    <t>Controlled Flight into Terrain (CFIT)</t>
  </si>
  <si>
    <t>PC-12/45</t>
  </si>
  <si>
    <t>Deccan Charter Pvt. Ltd., Bangalore</t>
  </si>
  <si>
    <t>M/s Air India Express Ltd., Mumbai</t>
  </si>
  <si>
    <t>Non-Scheduled Operation</t>
  </si>
  <si>
    <t>Bounced Landing</t>
  </si>
  <si>
    <t>King Air C-90 A</t>
  </si>
  <si>
    <t>Alchemist Air Pvt. Ltd.</t>
  </si>
  <si>
    <t>Ambulance Flight</t>
  </si>
  <si>
    <t>Approach</t>
  </si>
  <si>
    <t>Airbus A-320</t>
  </si>
  <si>
    <t>AIR INDIA LTD</t>
  </si>
  <si>
    <t>Soft Ground Landing</t>
  </si>
  <si>
    <t>Airbus A-320-232 (CEO)</t>
  </si>
  <si>
    <t>M/s InterGlobe Aviation Limited, India</t>
  </si>
  <si>
    <t>Component Failure/Malfunction</t>
  </si>
  <si>
    <t>ZLIN 242L</t>
  </si>
  <si>
    <t>Indira Gandhi Rashtriya Udan Akademi</t>
  </si>
  <si>
    <t>Airbus A320-271N</t>
  </si>
  <si>
    <t>Descent Phase</t>
  </si>
  <si>
    <t>Turbulence Encounter</t>
  </si>
  <si>
    <t>BOEING 737 - 800</t>
  </si>
  <si>
    <t>JET AIRWAYS</t>
  </si>
  <si>
    <t>ATR 72-212A</t>
  </si>
  <si>
    <t>Landing Roll</t>
  </si>
  <si>
    <t>Main Landing Gear Collapse</t>
  </si>
  <si>
    <t>Boeing 737-900</t>
  </si>
  <si>
    <t>Right Landing Gear Collapse</t>
  </si>
  <si>
    <t>Hawker 900XP</t>
  </si>
  <si>
    <t>M/s Larsen and Toubro Aviation Ltd.</t>
  </si>
  <si>
    <t>Diamond DA-42</t>
  </si>
  <si>
    <t>National Flying Training Institute, Gondia</t>
  </si>
  <si>
    <t>Cruise</t>
  </si>
  <si>
    <t>Wire Strike</t>
  </si>
  <si>
    <t>Bombardier Q-400</t>
  </si>
  <si>
    <t>Spice Jet Limited</t>
  </si>
  <si>
    <t>Wildlife Strike</t>
  </si>
  <si>
    <t>Cessna 152</t>
  </si>
  <si>
    <t>Falcon Aviation Academy, Faizabad</t>
  </si>
  <si>
    <t>Forced Landing</t>
  </si>
  <si>
    <t>Wings Aviation Pvt. Ltd.</t>
  </si>
  <si>
    <t>En-route</t>
  </si>
  <si>
    <t>Bad Weather Encounter</t>
  </si>
  <si>
    <t>Airbus A-319</t>
  </si>
  <si>
    <t>Ground Personnel Injury</t>
  </si>
  <si>
    <t>Boeing B 737-800</t>
  </si>
  <si>
    <t>SpiceJet Limited.</t>
  </si>
  <si>
    <t>AIR INDIA EXPRESS</t>
  </si>
  <si>
    <t>Takeoff Roll</t>
  </si>
  <si>
    <t>Cessna 208B</t>
  </si>
  <si>
    <t>Supreme Airlines</t>
  </si>
  <si>
    <t>https://aaib.gov.in/Reports/2025/Accident/VT-SLH_Final%20Investigation%20Report.pdf</t>
  </si>
  <si>
    <t>https://aaib.gov.in/Reports/2020/accident/Final%20Report%20AXH.pdf</t>
  </si>
  <si>
    <t>https://aaib.gov.in/Reports/2020/accident/Final%20Report%20VT-IJT.pdf</t>
  </si>
  <si>
    <t>https://aaib.gov.in/Reports/2019/Accident/VT-SYK_Mumbai.pdf</t>
  </si>
  <si>
    <t>https://aaib.gov.in/Reports/2019/Accident/Accepted%20Report%20VT-IGM.pdf</t>
  </si>
  <si>
    <t>https://aaib.gov.in/Reports/2019/Accident/VT_RGF_Sultanpur_Telangana.pdf</t>
  </si>
  <si>
    <t>https://aaib.gov.in/Reports/2019/Accident/VT-AVV_at_Aligarh_on_27_Aug_2019.pdf</t>
  </si>
  <si>
    <t>https://aaib.gov.in/Reports/2018/Accident/Accepted%20Report%20VT-ABK.pdf</t>
  </si>
  <si>
    <t>https://aaib.gov.in/Reports/2018/Accident/Final%20Report%20VT-UDN%20,%20Lalgarh%2026.08.2018.pdf</t>
  </si>
  <si>
    <t>https://aaib.gov.in/Reports/2018/Accident/VT_PTD_at_Faizabad_26_10_2018.pdf</t>
  </si>
  <si>
    <t>https://aaib.gov.in/Reports/2018/Accident/Accepted%20report%20VT-AYD.pdf</t>
  </si>
  <si>
    <t>https://aaib.gov.in/Reports/2017/Accident/Accepted%20Report%20VT-AYB.pdf</t>
  </si>
  <si>
    <t>https://aaib.gov.in/Reports/2017/Accident/Accepted%20report%20VT-NFM.pdf</t>
  </si>
  <si>
    <t>https://aaib.gov.in/Reports/2016/Accident/Accepted%20Report%20%20VT-JBG.pdf</t>
  </si>
  <si>
    <t>https://aaib.gov.in/Reports/2016/Accident/Final%20investigation%20report%20on%20accident%20involving%20Jet%20Airways%20B-737%20aircraft%20VT-JCX%20at%20Indore%20on%2007th%20May%202016.pdf</t>
  </si>
  <si>
    <t>https://aaib.gov.in/Reports/2016/Accident/Accepted%20Report%20VT-LTA.pdf</t>
  </si>
  <si>
    <t>https://aaib.gov.in/Reports/2016/Accident/Accepted%20Report%20VT-EQO.pdf</t>
  </si>
  <si>
    <t>https://aaib.gov.in/Reports/2015/Accident/Accepted%20Report%20VT-SUA.pdf</t>
  </si>
  <si>
    <t>https://aaib.gov.in/Reports/2015/Accident/Accepted%20Report%20VT-SCQ.pdf</t>
  </si>
  <si>
    <t>https://aaib.gov.in/Reports/2014/Accident/Accepted%20Report%20VT-DAR.pdf</t>
  </si>
  <si>
    <t>https://aaib.gov.in/Reports/2014/Accident/Accepted%20Report%20VT-SGK.pdf</t>
  </si>
  <si>
    <t>https://aaib.gov.in/Reports/2014/Accident/Accepted%20Report%20VT-ESH.pdf</t>
  </si>
  <si>
    <t>https://aaib.gov.in/What's%20New%20Assets/Final%20Inv%20Report%20%20VT-IFM.pdf</t>
  </si>
  <si>
    <t>https://aaib.gov.in/Reports/2016/Accident/Accepted%20Report%20VT-JGD.pdf</t>
  </si>
  <si>
    <t>https://aaib.gov.in/Reports/2015/Accident/Accepted%20Report%20VT-JGA.pdf</t>
  </si>
  <si>
    <t>https://aaib.gov.in/Reports/2015/Accident/Accepted%20Report%20VT-SUC.pdf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</si>
</sst>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aib.gov.in/Reports/2014/Accident/Accepted%20Report%20VT-ESH.pdf" TargetMode="External"/><Relationship Id="rId13" Type="http://schemas.openxmlformats.org/officeDocument/2006/relationships/hyperlink" Target="https://aaib.gov.in/Reports/2020/accident/Final%20Report%20AXH.pdf" TargetMode="External"/><Relationship Id="rId18" Type="http://schemas.openxmlformats.org/officeDocument/2006/relationships/hyperlink" Target="https://aaib.gov.in/Reports/2016/Accident/Accepted%20Report%20%20VT-JBG.pdf" TargetMode="External"/><Relationship Id="rId26" Type="http://schemas.openxmlformats.org/officeDocument/2006/relationships/hyperlink" Target="https://aaib.gov.in/Reports/2018/Accident/Final%20Report%20VT-UDN%20,%20Lalgarh%2026.08.2018.pdf" TargetMode="External"/><Relationship Id="rId3" Type="http://schemas.openxmlformats.org/officeDocument/2006/relationships/hyperlink" Target="https://aaib.gov.in/Reports/2017/Accident/Accepted%20report%20VT-NFM.pdf" TargetMode="External"/><Relationship Id="rId21" Type="http://schemas.openxmlformats.org/officeDocument/2006/relationships/hyperlink" Target="https://aaib.gov.in/Reports/2018/Accident/VT_PTD_at_Faizabad_26_10_2018.pdf" TargetMode="External"/><Relationship Id="rId7" Type="http://schemas.openxmlformats.org/officeDocument/2006/relationships/hyperlink" Target="https://aaib.gov.in/Reports/2014/Accident/Accepted%20Report%20VT-SGK.pdf" TargetMode="External"/><Relationship Id="rId12" Type="http://schemas.openxmlformats.org/officeDocument/2006/relationships/hyperlink" Target="https://aaib.gov.in/Reports/2019/Accident/VT-AVV_at_Aligarh_on_27_Aug_2019.pdf" TargetMode="External"/><Relationship Id="rId17" Type="http://schemas.openxmlformats.org/officeDocument/2006/relationships/hyperlink" Target="https://aaib.gov.in/Reports/2020/accident/Final%20Report%20VT-IJT.pdf" TargetMode="External"/><Relationship Id="rId25" Type="http://schemas.openxmlformats.org/officeDocument/2006/relationships/hyperlink" Target="https://aaib.gov.in/Reports/2015/Accident/Accepted%20Report%20VT-SUC.pdf" TargetMode="External"/><Relationship Id="rId2" Type="http://schemas.openxmlformats.org/officeDocument/2006/relationships/hyperlink" Target="https://aaib.gov.in/Reports/2018/Accident/Accepted%20report%20VT-AYD.pdf" TargetMode="External"/><Relationship Id="rId16" Type="http://schemas.openxmlformats.org/officeDocument/2006/relationships/hyperlink" Target="https://aaib.gov.in/Reports/2019/Accident/Accepted%20Report%20VT-IGM.pdf" TargetMode="External"/><Relationship Id="rId20" Type="http://schemas.openxmlformats.org/officeDocument/2006/relationships/hyperlink" Target="https://aaib.gov.in/Reports/2016/Accident/Accepted%20Report%20VT-JGD.pdf" TargetMode="External"/><Relationship Id="rId1" Type="http://schemas.openxmlformats.org/officeDocument/2006/relationships/hyperlink" Target="https://aaib.gov.in/Reports/2019/Accident/VT-SYK_Mumbai.pdf" TargetMode="External"/><Relationship Id="rId6" Type="http://schemas.openxmlformats.org/officeDocument/2006/relationships/hyperlink" Target="https://aaib.gov.in/Reports/2015/Accident/Accepted%20Report%20VT-SUA.pdf" TargetMode="External"/><Relationship Id="rId11" Type="http://schemas.openxmlformats.org/officeDocument/2006/relationships/hyperlink" Target="https://aaib.gov.in/Reports/2018/Accident/Accepted%20Report%20VT-ABK.pdf" TargetMode="External"/><Relationship Id="rId24" Type="http://schemas.openxmlformats.org/officeDocument/2006/relationships/hyperlink" Target="https://aaib.gov.in/Reports/2025/Accident/VT-SLH_Final%20Investigation%20Report.pdf" TargetMode="External"/><Relationship Id="rId5" Type="http://schemas.openxmlformats.org/officeDocument/2006/relationships/hyperlink" Target="https://aaib.gov.in/Reports/2016/Accident/Accepted%20Report%20VT-EQO.pdf" TargetMode="External"/><Relationship Id="rId15" Type="http://schemas.openxmlformats.org/officeDocument/2006/relationships/hyperlink" Target="https://aaib.gov.in/Reports/2014/Accident/Accepted%20Report%20VT-DAR.pdf" TargetMode="External"/><Relationship Id="rId23" Type="http://schemas.openxmlformats.org/officeDocument/2006/relationships/hyperlink" Target="https://aaib.gov.in/Reports/2015/Accident/Accepted%20Report%20VT-SCQ.pdf" TargetMode="External"/><Relationship Id="rId10" Type="http://schemas.openxmlformats.org/officeDocument/2006/relationships/hyperlink" Target="https://aaib.gov.in/Reports/2015/Accident/Accepted%20Report%20VT-JGA.pdf" TargetMode="External"/><Relationship Id="rId19" Type="http://schemas.openxmlformats.org/officeDocument/2006/relationships/hyperlink" Target="https://aaib.gov.in/Reports/2016/Accident/Final%20investigation%20report%20on%20accident%20involving%20Jet%20Airways%20B-737%20aircraft%20VT-JCX%20at%20Indore%20on%2007th%20May%202016.pdf" TargetMode="External"/><Relationship Id="rId4" Type="http://schemas.openxmlformats.org/officeDocument/2006/relationships/hyperlink" Target="https://aaib.gov.in/Reports/2016/Accident/Accepted%20Report%20VT-LTA.pdf" TargetMode="External"/><Relationship Id="rId9" Type="http://schemas.openxmlformats.org/officeDocument/2006/relationships/hyperlink" Target="https://aaib.gov.in/What's%20New%20Assets/Final%20Inv%20Report%20%20VT-IFM.pdf" TargetMode="External"/><Relationship Id="rId14" Type="http://schemas.openxmlformats.org/officeDocument/2006/relationships/hyperlink" Target="https://aaib.gov.in/Reports/2017/Accident/Accepted%20Report%20VT-AYB.pdf" TargetMode="External"/><Relationship Id="rId22" Type="http://schemas.openxmlformats.org/officeDocument/2006/relationships/hyperlink" Target="https://aaib.gov.in/Reports/2019/Accident/VT_RGF_Sultanpur_Telangan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FE96-27B1-403F-AC23-14A07C23222C}">
  <dimension ref="A1:N27"/>
  <sheetViews>
    <sheetView tabSelected="1" zoomScale="70" workbookViewId="0">
      <selection activeCell="A2" sqref="A2"/>
    </sheetView>
  </sheetViews>
  <sheetFormatPr defaultRowHeight="14.4" x14ac:dyDescent="0.3"/>
  <cols>
    <col min="1" max="1" width="8.5546875" bestFit="1" customWidth="1"/>
    <col min="2" max="2" width="10.33203125" bestFit="1" customWidth="1"/>
    <col min="3" max="3" width="20.109375" bestFit="1" customWidth="1"/>
    <col min="4" max="4" width="34.44140625" bestFit="1" customWidth="1"/>
    <col min="5" max="5" width="14.88671875" bestFit="1" customWidth="1"/>
    <col min="6" max="6" width="14.77734375" bestFit="1" customWidth="1"/>
    <col min="7" max="7" width="22.88671875" bestFit="1" customWidth="1"/>
    <col min="8" max="8" width="13.77734375" bestFit="1" customWidth="1"/>
    <col min="9" max="9" width="29.88671875" bestFit="1" customWidth="1"/>
    <col min="10" max="10" width="12" bestFit="1" customWidth="1"/>
    <col min="11" max="11" width="13.21875" bestFit="1" customWidth="1"/>
    <col min="12" max="12" width="23.6640625" bestFit="1" customWidth="1"/>
    <col min="13" max="13" width="75" bestFit="1" customWidth="1"/>
    <col min="14" max="14" width="7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40</v>
      </c>
      <c r="C2" t="s">
        <v>66</v>
      </c>
      <c r="D2" t="s">
        <v>67</v>
      </c>
      <c r="E2" s="1">
        <v>43428</v>
      </c>
      <c r="F2">
        <f>YEAR(E2)</f>
        <v>2018</v>
      </c>
      <c r="G2" t="s">
        <v>68</v>
      </c>
      <c r="H2" t="s">
        <v>69</v>
      </c>
      <c r="I2" t="s">
        <v>72</v>
      </c>
      <c r="J2" t="s">
        <v>70</v>
      </c>
      <c r="K2" t="s">
        <v>71</v>
      </c>
      <c r="L2" t="s">
        <v>73</v>
      </c>
      <c r="M2" s="2" t="s">
        <v>144</v>
      </c>
      <c r="N2" t="b">
        <v>1</v>
      </c>
    </row>
    <row r="3" spans="1:14" x14ac:dyDescent="0.3">
      <c r="A3" t="s">
        <v>15</v>
      </c>
      <c r="B3" t="s">
        <v>41</v>
      </c>
      <c r="C3" t="s">
        <v>74</v>
      </c>
      <c r="D3" t="s">
        <v>75</v>
      </c>
      <c r="E3" s="1">
        <v>43704</v>
      </c>
      <c r="F3">
        <f t="shared" ref="F3:F27" si="0">YEAR(E3)</f>
        <v>2019</v>
      </c>
      <c r="G3" t="s">
        <v>76</v>
      </c>
      <c r="H3" t="s">
        <v>69</v>
      </c>
      <c r="I3" t="s">
        <v>77</v>
      </c>
      <c r="J3" t="s">
        <v>70</v>
      </c>
      <c r="K3" t="s">
        <v>71</v>
      </c>
      <c r="L3" t="s">
        <v>78</v>
      </c>
      <c r="M3" s="2" t="s">
        <v>143</v>
      </c>
      <c r="N3" t="b">
        <v>1</v>
      </c>
    </row>
    <row r="4" spans="1:14" x14ac:dyDescent="0.3">
      <c r="A4" t="s">
        <v>16</v>
      </c>
      <c r="B4" t="s">
        <v>42</v>
      </c>
      <c r="C4" t="s">
        <v>80</v>
      </c>
      <c r="D4" t="s">
        <v>133</v>
      </c>
      <c r="E4" s="1">
        <v>44050</v>
      </c>
      <c r="F4">
        <f t="shared" si="0"/>
        <v>2020</v>
      </c>
      <c r="G4" t="s">
        <v>79</v>
      </c>
      <c r="H4" t="s">
        <v>69</v>
      </c>
      <c r="I4" t="s">
        <v>77</v>
      </c>
      <c r="J4" t="s">
        <v>70</v>
      </c>
      <c r="K4" t="s">
        <v>71</v>
      </c>
      <c r="L4" t="str">
        <f>B4 &amp; "_" &amp; F4 &amp; "_final_report"</f>
        <v>VT-AXH_2020_final_report</v>
      </c>
      <c r="M4" s="2" t="s">
        <v>138</v>
      </c>
      <c r="N4" t="b">
        <v>1</v>
      </c>
    </row>
    <row r="5" spans="1:14" x14ac:dyDescent="0.3">
      <c r="A5" t="s">
        <v>17</v>
      </c>
      <c r="B5" t="s">
        <v>43</v>
      </c>
      <c r="C5" t="s">
        <v>80</v>
      </c>
      <c r="D5" t="s">
        <v>81</v>
      </c>
      <c r="E5" s="1">
        <v>42982</v>
      </c>
      <c r="F5">
        <f t="shared" si="0"/>
        <v>2017</v>
      </c>
      <c r="G5" t="s">
        <v>82</v>
      </c>
      <c r="H5" t="s">
        <v>83</v>
      </c>
      <c r="I5" t="s">
        <v>84</v>
      </c>
      <c r="J5" t="s">
        <v>70</v>
      </c>
      <c r="K5" t="s">
        <v>71</v>
      </c>
      <c r="L5" t="str">
        <f t="shared" ref="L5:L27" si="1">B5 &amp; "_" &amp; F5 &amp; "_final_report"</f>
        <v>VT-AYB_2017_final_report</v>
      </c>
      <c r="M5" s="2" t="s">
        <v>148</v>
      </c>
      <c r="N5" t="b">
        <v>1</v>
      </c>
    </row>
    <row r="6" spans="1:14" x14ac:dyDescent="0.3">
      <c r="A6" t="s">
        <v>18</v>
      </c>
      <c r="B6" t="s">
        <v>44</v>
      </c>
      <c r="C6" t="s">
        <v>80</v>
      </c>
      <c r="D6" t="s">
        <v>89</v>
      </c>
      <c r="E6" s="1">
        <v>43384</v>
      </c>
      <c r="F6">
        <f t="shared" si="0"/>
        <v>2018</v>
      </c>
      <c r="G6" t="s">
        <v>82</v>
      </c>
      <c r="H6" t="s">
        <v>85</v>
      </c>
      <c r="I6" t="s">
        <v>86</v>
      </c>
      <c r="J6" t="s">
        <v>70</v>
      </c>
      <c r="K6" t="s">
        <v>71</v>
      </c>
      <c r="L6" t="str">
        <f t="shared" si="1"/>
        <v>VT-AYD_2018_final_report</v>
      </c>
      <c r="M6" s="2" t="s">
        <v>147</v>
      </c>
      <c r="N6" t="b">
        <v>1</v>
      </c>
    </row>
    <row r="7" spans="1:14" x14ac:dyDescent="0.3">
      <c r="A7" t="s">
        <v>19</v>
      </c>
      <c r="B7" t="s">
        <v>45</v>
      </c>
      <c r="C7" t="s">
        <v>87</v>
      </c>
      <c r="D7" t="s">
        <v>88</v>
      </c>
      <c r="E7" s="1">
        <v>41971</v>
      </c>
      <c r="F7">
        <f t="shared" si="0"/>
        <v>2014</v>
      </c>
      <c r="G7" t="s">
        <v>90</v>
      </c>
      <c r="H7" t="s">
        <v>69</v>
      </c>
      <c r="I7" t="s">
        <v>91</v>
      </c>
      <c r="J7" t="s">
        <v>70</v>
      </c>
      <c r="K7" t="s">
        <v>71</v>
      </c>
      <c r="L7" t="str">
        <f t="shared" si="1"/>
        <v>VT-DAR_2014_final_report</v>
      </c>
      <c r="M7" s="2" t="s">
        <v>156</v>
      </c>
      <c r="N7" t="b">
        <v>1</v>
      </c>
    </row>
    <row r="8" spans="1:14" x14ac:dyDescent="0.3">
      <c r="A8" t="s">
        <v>20</v>
      </c>
      <c r="B8" t="s">
        <v>46</v>
      </c>
      <c r="C8" t="s">
        <v>92</v>
      </c>
      <c r="D8" t="s">
        <v>93</v>
      </c>
      <c r="E8" s="1">
        <v>42514</v>
      </c>
      <c r="F8">
        <f t="shared" si="0"/>
        <v>2016</v>
      </c>
      <c r="G8" t="s">
        <v>94</v>
      </c>
      <c r="H8" t="s">
        <v>95</v>
      </c>
      <c r="I8" t="s">
        <v>125</v>
      </c>
      <c r="J8" t="s">
        <v>70</v>
      </c>
      <c r="K8" t="s">
        <v>71</v>
      </c>
      <c r="L8" t="str">
        <f t="shared" si="1"/>
        <v>VT-EQO_2016_final_report</v>
      </c>
      <c r="M8" s="2" t="s">
        <v>153</v>
      </c>
      <c r="N8" t="b">
        <v>1</v>
      </c>
    </row>
    <row r="9" spans="1:14" x14ac:dyDescent="0.3">
      <c r="A9" t="s">
        <v>21</v>
      </c>
      <c r="B9" t="s">
        <v>47</v>
      </c>
      <c r="C9" t="s">
        <v>96</v>
      </c>
      <c r="D9" t="s">
        <v>97</v>
      </c>
      <c r="E9" s="1">
        <v>41644</v>
      </c>
      <c r="F9">
        <f t="shared" si="0"/>
        <v>2014</v>
      </c>
      <c r="G9" t="s">
        <v>82</v>
      </c>
      <c r="H9" t="s">
        <v>69</v>
      </c>
      <c r="I9" t="s">
        <v>98</v>
      </c>
      <c r="J9" t="s">
        <v>70</v>
      </c>
      <c r="K9" t="s">
        <v>71</v>
      </c>
      <c r="L9" t="str">
        <f t="shared" si="1"/>
        <v>VT-ESH_2014_final_report</v>
      </c>
      <c r="M9" s="2" t="s">
        <v>158</v>
      </c>
      <c r="N9" t="b">
        <v>1</v>
      </c>
    </row>
    <row r="10" spans="1:14" x14ac:dyDescent="0.3">
      <c r="A10" t="s">
        <v>22</v>
      </c>
      <c r="B10" t="s">
        <v>48</v>
      </c>
      <c r="C10" t="s">
        <v>99</v>
      </c>
      <c r="D10" t="s">
        <v>100</v>
      </c>
      <c r="E10" s="1">
        <v>44862</v>
      </c>
      <c r="F10">
        <f t="shared" si="0"/>
        <v>2022</v>
      </c>
      <c r="G10" t="s">
        <v>82</v>
      </c>
      <c r="H10" t="s">
        <v>85</v>
      </c>
      <c r="I10" t="s">
        <v>101</v>
      </c>
      <c r="J10" t="s">
        <v>70</v>
      </c>
      <c r="K10" t="s">
        <v>71</v>
      </c>
      <c r="L10" t="str">
        <f t="shared" si="1"/>
        <v>VT-IFM_2022_final_report</v>
      </c>
      <c r="M10" s="2" t="s">
        <v>159</v>
      </c>
      <c r="N10" t="b">
        <v>1</v>
      </c>
    </row>
    <row r="11" spans="1:14" x14ac:dyDescent="0.3">
      <c r="A11" t="s">
        <v>23</v>
      </c>
      <c r="B11" t="s">
        <v>49</v>
      </c>
      <c r="C11" t="s">
        <v>102</v>
      </c>
      <c r="D11" t="s">
        <v>103</v>
      </c>
      <c r="E11" s="1">
        <v>43759</v>
      </c>
      <c r="F11">
        <f t="shared" si="0"/>
        <v>2019</v>
      </c>
      <c r="G11" t="s">
        <v>68</v>
      </c>
      <c r="H11" t="s">
        <v>69</v>
      </c>
      <c r="I11" t="s">
        <v>77</v>
      </c>
      <c r="J11" t="s">
        <v>70</v>
      </c>
      <c r="K11" t="s">
        <v>71</v>
      </c>
      <c r="L11" t="str">
        <f t="shared" si="1"/>
        <v>VT-IGM_2019_final_report</v>
      </c>
      <c r="M11" s="2" t="s">
        <v>141</v>
      </c>
      <c r="N11" t="b">
        <v>1</v>
      </c>
    </row>
    <row r="12" spans="1:14" x14ac:dyDescent="0.3">
      <c r="A12" t="s">
        <v>24</v>
      </c>
      <c r="B12" t="s">
        <v>50</v>
      </c>
      <c r="C12" t="s">
        <v>104</v>
      </c>
      <c r="D12" t="s">
        <v>100</v>
      </c>
      <c r="E12" s="1">
        <v>43996</v>
      </c>
      <c r="F12">
        <f t="shared" si="0"/>
        <v>2020</v>
      </c>
      <c r="G12" t="s">
        <v>82</v>
      </c>
      <c r="H12" t="s">
        <v>105</v>
      </c>
      <c r="I12" t="s">
        <v>106</v>
      </c>
      <c r="J12" t="s">
        <v>70</v>
      </c>
      <c r="K12" t="s">
        <v>71</v>
      </c>
      <c r="L12" t="str">
        <f t="shared" si="1"/>
        <v>VT-IJT_2020_final_report</v>
      </c>
      <c r="M12" s="2" t="s">
        <v>139</v>
      </c>
      <c r="N12" t="b">
        <v>1</v>
      </c>
    </row>
    <row r="13" spans="1:14" x14ac:dyDescent="0.3">
      <c r="A13" t="s">
        <v>25</v>
      </c>
      <c r="B13" t="s">
        <v>51</v>
      </c>
      <c r="C13" t="s">
        <v>107</v>
      </c>
      <c r="D13" t="s">
        <v>108</v>
      </c>
      <c r="E13" s="1">
        <v>42731</v>
      </c>
      <c r="F13">
        <f t="shared" si="0"/>
        <v>2016</v>
      </c>
      <c r="G13" t="s">
        <v>82</v>
      </c>
      <c r="H13" t="s">
        <v>134</v>
      </c>
      <c r="I13" t="s">
        <v>77</v>
      </c>
      <c r="J13" t="s">
        <v>70</v>
      </c>
      <c r="K13" t="s">
        <v>71</v>
      </c>
      <c r="L13" t="str">
        <f t="shared" si="1"/>
        <v>VT-JBG_2016_final_report</v>
      </c>
      <c r="M13" s="2" t="s">
        <v>150</v>
      </c>
      <c r="N13" t="b">
        <v>1</v>
      </c>
    </row>
    <row r="14" spans="1:14" x14ac:dyDescent="0.3">
      <c r="A14" t="s">
        <v>26</v>
      </c>
      <c r="B14" t="s">
        <v>52</v>
      </c>
      <c r="C14" t="s">
        <v>109</v>
      </c>
      <c r="D14" t="s">
        <v>108</v>
      </c>
      <c r="E14" s="1">
        <v>42497</v>
      </c>
      <c r="F14">
        <f t="shared" si="0"/>
        <v>2016</v>
      </c>
      <c r="G14" t="s">
        <v>82</v>
      </c>
      <c r="H14" t="s">
        <v>69</v>
      </c>
      <c r="I14" t="s">
        <v>77</v>
      </c>
      <c r="J14" t="s">
        <v>70</v>
      </c>
      <c r="K14" t="s">
        <v>71</v>
      </c>
      <c r="L14" t="str">
        <f t="shared" si="1"/>
        <v>VT-JCX_2016_final_report</v>
      </c>
      <c r="M14" s="2" t="s">
        <v>151</v>
      </c>
      <c r="N14" t="b">
        <v>1</v>
      </c>
    </row>
    <row r="15" spans="1:14" x14ac:dyDescent="0.3">
      <c r="A15" t="s">
        <v>27</v>
      </c>
      <c r="B15" t="s">
        <v>53</v>
      </c>
      <c r="C15" t="s">
        <v>80</v>
      </c>
      <c r="D15" t="s">
        <v>108</v>
      </c>
      <c r="E15" s="1">
        <v>42107</v>
      </c>
      <c r="F15">
        <f t="shared" si="0"/>
        <v>2015</v>
      </c>
      <c r="G15" t="s">
        <v>82</v>
      </c>
      <c r="H15" t="s">
        <v>110</v>
      </c>
      <c r="I15" t="s">
        <v>111</v>
      </c>
      <c r="J15" t="s">
        <v>70</v>
      </c>
      <c r="K15" t="s">
        <v>71</v>
      </c>
      <c r="L15" t="str">
        <f t="shared" si="1"/>
        <v>VT-JGA_2015_final_report</v>
      </c>
      <c r="M15" s="2" t="s">
        <v>161</v>
      </c>
      <c r="N15" t="b">
        <v>1</v>
      </c>
    </row>
    <row r="16" spans="1:14" x14ac:dyDescent="0.3">
      <c r="A16" t="s">
        <v>28</v>
      </c>
      <c r="B16" t="s">
        <v>54</v>
      </c>
      <c r="C16" t="s">
        <v>112</v>
      </c>
      <c r="D16" t="s">
        <v>108</v>
      </c>
      <c r="E16" s="1">
        <v>42432</v>
      </c>
      <c r="F16">
        <f t="shared" si="0"/>
        <v>2016</v>
      </c>
      <c r="G16" t="s">
        <v>82</v>
      </c>
      <c r="H16" t="s">
        <v>110</v>
      </c>
      <c r="I16" t="s">
        <v>113</v>
      </c>
      <c r="J16" t="s">
        <v>70</v>
      </c>
      <c r="K16" t="s">
        <v>71</v>
      </c>
      <c r="L16" t="str">
        <f t="shared" si="1"/>
        <v>VT-JGD_2016_final_report</v>
      </c>
      <c r="M16" s="2" t="s">
        <v>160</v>
      </c>
      <c r="N16" t="b">
        <v>1</v>
      </c>
    </row>
    <row r="17" spans="1:14" x14ac:dyDescent="0.3">
      <c r="A17" t="s">
        <v>29</v>
      </c>
      <c r="B17" t="s">
        <v>55</v>
      </c>
      <c r="C17" t="s">
        <v>114</v>
      </c>
      <c r="D17" t="s">
        <v>115</v>
      </c>
      <c r="E17" s="1">
        <v>42557</v>
      </c>
      <c r="F17">
        <f t="shared" si="0"/>
        <v>2016</v>
      </c>
      <c r="G17" t="s">
        <v>76</v>
      </c>
      <c r="H17" t="s">
        <v>69</v>
      </c>
      <c r="I17" t="s">
        <v>77</v>
      </c>
      <c r="J17" t="s">
        <v>70</v>
      </c>
      <c r="K17" t="s">
        <v>71</v>
      </c>
      <c r="L17" t="str">
        <f t="shared" si="1"/>
        <v>VT-LTA_2016_final_report</v>
      </c>
      <c r="M17" s="2" t="s">
        <v>152</v>
      </c>
      <c r="N17" t="b">
        <v>1</v>
      </c>
    </row>
    <row r="18" spans="1:14" x14ac:dyDescent="0.3">
      <c r="A18" t="s">
        <v>30</v>
      </c>
      <c r="B18" t="s">
        <v>56</v>
      </c>
      <c r="C18" t="s">
        <v>116</v>
      </c>
      <c r="D18" t="s">
        <v>117</v>
      </c>
      <c r="E18" s="1">
        <v>42851</v>
      </c>
      <c r="F18">
        <f t="shared" si="0"/>
        <v>2017</v>
      </c>
      <c r="G18" t="s">
        <v>68</v>
      </c>
      <c r="H18" t="s">
        <v>118</v>
      </c>
      <c r="I18" t="s">
        <v>119</v>
      </c>
      <c r="J18" t="s">
        <v>70</v>
      </c>
      <c r="K18" t="s">
        <v>71</v>
      </c>
      <c r="L18" t="str">
        <f t="shared" si="1"/>
        <v>VT-NFM_2017_final_report</v>
      </c>
      <c r="M18" s="2" t="s">
        <v>149</v>
      </c>
      <c r="N18" t="b">
        <v>1</v>
      </c>
    </row>
    <row r="19" spans="1:14" x14ac:dyDescent="0.3">
      <c r="A19" t="s">
        <v>31</v>
      </c>
      <c r="B19" t="s">
        <v>57</v>
      </c>
      <c r="C19" t="s">
        <v>123</v>
      </c>
      <c r="D19" t="s">
        <v>124</v>
      </c>
      <c r="E19" s="1">
        <v>43216</v>
      </c>
      <c r="F19">
        <f t="shared" si="0"/>
        <v>2018</v>
      </c>
      <c r="G19" t="s">
        <v>68</v>
      </c>
      <c r="H19" t="s">
        <v>95</v>
      </c>
      <c r="I19" t="s">
        <v>125</v>
      </c>
      <c r="J19" t="s">
        <v>70</v>
      </c>
      <c r="K19" t="s">
        <v>71</v>
      </c>
      <c r="L19" t="str">
        <f t="shared" si="1"/>
        <v>VT-PTD_2018_final_report</v>
      </c>
      <c r="M19" s="2" t="s">
        <v>146</v>
      </c>
      <c r="N19" t="b">
        <v>1</v>
      </c>
    </row>
    <row r="20" spans="1:14" x14ac:dyDescent="0.3">
      <c r="A20" t="s">
        <v>32</v>
      </c>
      <c r="B20" t="s">
        <v>58</v>
      </c>
      <c r="C20" t="s">
        <v>66</v>
      </c>
      <c r="D20" t="s">
        <v>126</v>
      </c>
      <c r="E20" s="1">
        <v>43744</v>
      </c>
      <c r="F20">
        <f t="shared" si="0"/>
        <v>2019</v>
      </c>
      <c r="G20" t="s">
        <v>68</v>
      </c>
      <c r="H20" t="s">
        <v>127</v>
      </c>
      <c r="I20" t="s">
        <v>128</v>
      </c>
      <c r="J20" t="s">
        <v>70</v>
      </c>
      <c r="K20" t="s">
        <v>71</v>
      </c>
      <c r="L20" t="str">
        <f t="shared" si="1"/>
        <v>VT-RGF_2019_final_report</v>
      </c>
      <c r="M20" s="2" t="s">
        <v>142</v>
      </c>
      <c r="N20" t="b">
        <v>1</v>
      </c>
    </row>
    <row r="21" spans="1:14" x14ac:dyDescent="0.3">
      <c r="A21" t="s">
        <v>33</v>
      </c>
      <c r="B21" t="s">
        <v>59</v>
      </c>
      <c r="C21" t="s">
        <v>129</v>
      </c>
      <c r="D21" t="s">
        <v>97</v>
      </c>
      <c r="E21" s="1">
        <v>42354</v>
      </c>
      <c r="F21">
        <f t="shared" si="0"/>
        <v>2015</v>
      </c>
      <c r="G21" t="s">
        <v>82</v>
      </c>
      <c r="H21" t="s">
        <v>83</v>
      </c>
      <c r="I21" t="s">
        <v>130</v>
      </c>
      <c r="J21" t="s">
        <v>70</v>
      </c>
      <c r="K21" t="s">
        <v>71</v>
      </c>
      <c r="L21" t="str">
        <f t="shared" si="1"/>
        <v>VT-SCQ_2015_final_report</v>
      </c>
      <c r="M21" s="2" t="s">
        <v>155</v>
      </c>
      <c r="N21" t="b">
        <v>1</v>
      </c>
    </row>
    <row r="22" spans="1:14" x14ac:dyDescent="0.3">
      <c r="A22" t="s">
        <v>34</v>
      </c>
      <c r="B22" t="s">
        <v>60</v>
      </c>
      <c r="C22" t="s">
        <v>131</v>
      </c>
      <c r="D22" t="s">
        <v>132</v>
      </c>
      <c r="E22" s="1">
        <v>41949</v>
      </c>
      <c r="F22">
        <f t="shared" si="0"/>
        <v>2014</v>
      </c>
      <c r="G22" t="s">
        <v>82</v>
      </c>
      <c r="H22" t="s">
        <v>134</v>
      </c>
      <c r="I22" t="s">
        <v>122</v>
      </c>
      <c r="J22" t="s">
        <v>70</v>
      </c>
      <c r="K22" t="s">
        <v>71</v>
      </c>
      <c r="L22" t="str">
        <f t="shared" si="1"/>
        <v>VT-SGK_2014_final_report</v>
      </c>
      <c r="M22" s="2" t="s">
        <v>157</v>
      </c>
      <c r="N22" t="b">
        <v>1</v>
      </c>
    </row>
    <row r="23" spans="1:14" x14ac:dyDescent="0.3">
      <c r="A23" t="s">
        <v>35</v>
      </c>
      <c r="B23" t="s">
        <v>61</v>
      </c>
      <c r="C23" t="s">
        <v>80</v>
      </c>
      <c r="D23" t="s">
        <v>132</v>
      </c>
      <c r="E23" s="1">
        <v>44682</v>
      </c>
      <c r="F23">
        <f t="shared" si="0"/>
        <v>2022</v>
      </c>
      <c r="G23" t="s">
        <v>82</v>
      </c>
      <c r="H23" t="s">
        <v>105</v>
      </c>
      <c r="I23" t="s">
        <v>106</v>
      </c>
      <c r="J23" t="s">
        <v>70</v>
      </c>
      <c r="K23" t="s">
        <v>71</v>
      </c>
      <c r="L23" t="str">
        <f t="shared" si="1"/>
        <v>VT-SLH_2022_final_report</v>
      </c>
      <c r="M23" s="2" t="s">
        <v>137</v>
      </c>
      <c r="N23" t="b">
        <v>1</v>
      </c>
    </row>
    <row r="24" spans="1:14" x14ac:dyDescent="0.3">
      <c r="A24" t="s">
        <v>36</v>
      </c>
      <c r="B24" t="s">
        <v>62</v>
      </c>
      <c r="C24" t="s">
        <v>120</v>
      </c>
      <c r="D24" t="s">
        <v>132</v>
      </c>
      <c r="E24" s="1">
        <v>42071</v>
      </c>
      <c r="F24">
        <f t="shared" si="0"/>
        <v>2015</v>
      </c>
      <c r="G24" t="s">
        <v>82</v>
      </c>
      <c r="H24" t="s">
        <v>69</v>
      </c>
      <c r="I24" t="s">
        <v>77</v>
      </c>
      <c r="J24" t="s">
        <v>70</v>
      </c>
      <c r="K24" t="s">
        <v>71</v>
      </c>
      <c r="L24" t="str">
        <f t="shared" si="1"/>
        <v>VT-SUA_2015_final_report</v>
      </c>
      <c r="M24" s="2" t="s">
        <v>154</v>
      </c>
      <c r="N24" t="b">
        <v>1</v>
      </c>
    </row>
    <row r="25" spans="1:14" x14ac:dyDescent="0.3">
      <c r="A25" t="s">
        <v>37</v>
      </c>
      <c r="B25" t="s">
        <v>63</v>
      </c>
      <c r="C25" t="s">
        <v>120</v>
      </c>
      <c r="D25" t="s">
        <v>121</v>
      </c>
      <c r="E25" s="1">
        <v>42342</v>
      </c>
      <c r="F25">
        <f t="shared" si="0"/>
        <v>2015</v>
      </c>
      <c r="G25" t="s">
        <v>82</v>
      </c>
      <c r="H25" t="s">
        <v>110</v>
      </c>
      <c r="I25" t="s">
        <v>122</v>
      </c>
      <c r="J25" t="s">
        <v>70</v>
      </c>
      <c r="K25" t="s">
        <v>71</v>
      </c>
      <c r="L25" t="str">
        <f t="shared" si="1"/>
        <v>VT-SUC_2015_final_report</v>
      </c>
      <c r="M25" s="2" t="s">
        <v>162</v>
      </c>
      <c r="N25" t="b">
        <v>1</v>
      </c>
    </row>
    <row r="26" spans="1:14" x14ac:dyDescent="0.3">
      <c r="A26" t="s">
        <v>38</v>
      </c>
      <c r="B26" t="s">
        <v>64</v>
      </c>
      <c r="C26" t="s">
        <v>80</v>
      </c>
      <c r="D26" t="s">
        <v>121</v>
      </c>
      <c r="E26" s="1">
        <v>43647</v>
      </c>
      <c r="F26">
        <f t="shared" si="0"/>
        <v>2019</v>
      </c>
      <c r="G26" t="s">
        <v>82</v>
      </c>
      <c r="H26" t="s">
        <v>69</v>
      </c>
      <c r="I26" t="s">
        <v>77</v>
      </c>
      <c r="J26" t="s">
        <v>70</v>
      </c>
      <c r="K26" t="s">
        <v>71</v>
      </c>
      <c r="L26" t="str">
        <f t="shared" si="1"/>
        <v>VT-SYK_2019_final_report</v>
      </c>
      <c r="M26" s="2" t="s">
        <v>140</v>
      </c>
      <c r="N26" t="b">
        <v>1</v>
      </c>
    </row>
    <row r="27" spans="1:14" x14ac:dyDescent="0.3">
      <c r="A27" t="s">
        <v>39</v>
      </c>
      <c r="B27" t="s">
        <v>65</v>
      </c>
      <c r="C27" t="s">
        <v>135</v>
      </c>
      <c r="D27" t="s">
        <v>136</v>
      </c>
      <c r="E27" s="1">
        <v>43319</v>
      </c>
      <c r="F27">
        <f t="shared" si="0"/>
        <v>2018</v>
      </c>
      <c r="G27" t="s">
        <v>76</v>
      </c>
      <c r="H27" t="s">
        <v>69</v>
      </c>
      <c r="I27" t="s">
        <v>77</v>
      </c>
      <c r="J27" t="s">
        <v>70</v>
      </c>
      <c r="K27" t="s">
        <v>71</v>
      </c>
      <c r="L27" t="str">
        <f t="shared" si="1"/>
        <v>VT-UDN_2018_final_report</v>
      </c>
      <c r="M27" s="2" t="s">
        <v>145</v>
      </c>
      <c r="N27" t="b">
        <v>1</v>
      </c>
    </row>
  </sheetData>
  <phoneticPr fontId="1" type="noConversion"/>
  <hyperlinks>
    <hyperlink ref="M26" r:id="rId1" xr:uid="{0B39CD95-9131-466D-9558-D4196034452F}"/>
    <hyperlink ref="M6" r:id="rId2" xr:uid="{E1C2A578-DC26-4C17-A812-6912991C39AA}"/>
    <hyperlink ref="M18" r:id="rId3" xr:uid="{80C88B3E-9D3E-40FF-9694-3F2DF6A48829}"/>
    <hyperlink ref="M17" r:id="rId4" xr:uid="{8FA8FBBA-4A2D-4C82-8BEF-1388487DC2A2}"/>
    <hyperlink ref="M8" r:id="rId5" xr:uid="{F7FB8C88-7C78-4699-B216-632CE4507AE2}"/>
    <hyperlink ref="M24" r:id="rId6" xr:uid="{36131570-4CAD-46B8-A5A3-07F4D9F8C7BA}"/>
    <hyperlink ref="M22" r:id="rId7" xr:uid="{2CB3867B-EDA5-43C7-99EA-05E29A0E7F6B}"/>
    <hyperlink ref="M9" r:id="rId8" xr:uid="{E57738B4-5F8C-4E06-A653-8872037A8A6A}"/>
    <hyperlink ref="M10" r:id="rId9" xr:uid="{EF120897-2DFC-48E6-888B-D20C7B31ECD7}"/>
    <hyperlink ref="M15" r:id="rId10" xr:uid="{89ED0EB5-F1C3-4FFC-9F5C-99EA49BBA70F}"/>
    <hyperlink ref="M2" r:id="rId11" xr:uid="{27CC62A5-54B1-43E5-A99F-4963500CC858}"/>
    <hyperlink ref="M3" r:id="rId12" xr:uid="{B2943C08-5B98-4E72-9464-C9FC34EDFED0}"/>
    <hyperlink ref="M4" r:id="rId13" xr:uid="{0F4D4659-B4DC-4F3F-A66E-B9F2CFB73CC9}"/>
    <hyperlink ref="M5" r:id="rId14" xr:uid="{DBCC20D3-4554-4C72-A5BB-3AB71D1EFD0B}"/>
    <hyperlink ref="M7" r:id="rId15" xr:uid="{D27073F0-C674-41C3-8FBC-122CD56BC2AA}"/>
    <hyperlink ref="M11" r:id="rId16" xr:uid="{0AA5F245-512A-44E1-BC16-925B43AE42E8}"/>
    <hyperlink ref="M12" r:id="rId17" xr:uid="{27F923C3-BF98-47C5-8D09-5B7DC8CACCC8}"/>
    <hyperlink ref="M13" r:id="rId18" xr:uid="{D6B578EC-8D78-4646-B949-965D32FA53CF}"/>
    <hyperlink ref="M14" r:id="rId19" xr:uid="{C192F839-C102-48D6-BEA5-8C86A1CB6C6C}"/>
    <hyperlink ref="M16" r:id="rId20" xr:uid="{AB147F22-13EE-40A2-AA06-B3CF19552135}"/>
    <hyperlink ref="M19" r:id="rId21" xr:uid="{6F50B352-3772-4E95-B24F-88BFDE5F9172}"/>
    <hyperlink ref="M20" r:id="rId22" xr:uid="{B190F184-A868-4CFD-B334-3A3AF191AF24}"/>
    <hyperlink ref="M21" r:id="rId23" xr:uid="{FCFA8559-F306-4814-AF0F-D0784F87B998}"/>
    <hyperlink ref="M23" r:id="rId24" xr:uid="{487E0F22-B75E-4798-BA61-938342E2169F}"/>
    <hyperlink ref="M25" r:id="rId25" xr:uid="{207AA83D-4EF7-44DD-A77F-9F070AE1F20F}"/>
    <hyperlink ref="M27" r:id="rId26" xr:uid="{200A756E-801A-46FE-8646-C61E514529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Sheersh Gupta [CSE (DATA SCIENCE) - 2024]</dc:creator>
  <cp:lastModifiedBy>Sheersh Gupta</cp:lastModifiedBy>
  <dcterms:created xsi:type="dcterms:W3CDTF">2026-07-15T06:48:59Z</dcterms:created>
  <dcterms:modified xsi:type="dcterms:W3CDTF">2026-07-15T08:17:06Z</dcterms:modified>
</cp:coreProperties>
</file>